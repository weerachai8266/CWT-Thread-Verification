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from_\CWT-Thread-Verification\"/>
    </mc:Choice>
  </mc:AlternateContent>
  <xr:revisionPtr revIDLastSave="0" documentId="13_ncr:1_{018DBE98-8BFC-4F8E-8FC2-A9C4F2EC3E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/>
  <c r="N23" i="1"/>
  <c r="N24" i="1"/>
  <c r="N26" i="1" s="1"/>
  <c r="S9" i="1"/>
  <c r="S10" i="1"/>
  <c r="S17" i="1"/>
  <c r="S16" i="1"/>
  <c r="N16" i="1"/>
  <c r="N17" i="1"/>
  <c r="N18" i="1"/>
  <c r="N19" i="1"/>
  <c r="N20" i="1"/>
  <c r="N21" i="1"/>
  <c r="N12" i="1"/>
  <c r="N13" i="1"/>
  <c r="N14" i="1"/>
  <c r="N15" i="1"/>
  <c r="S6" i="1"/>
  <c r="S7" i="1"/>
  <c r="S8" i="1"/>
  <c r="S5" i="1"/>
  <c r="Q8" i="1"/>
  <c r="N6" i="1"/>
  <c r="N7" i="1"/>
  <c r="N9" i="1"/>
  <c r="N8" i="1"/>
  <c r="N10" i="1"/>
  <c r="N11" i="1"/>
  <c r="N5" i="1"/>
</calcChain>
</file>

<file path=xl/sharedStrings.xml><?xml version="1.0" encoding="utf-8"?>
<sst xmlns="http://schemas.openxmlformats.org/spreadsheetml/2006/main" count="29" uniqueCount="29">
  <si>
    <t>NO.</t>
  </si>
  <si>
    <t>GM65</t>
  </si>
  <si>
    <t>1D 2D Barcode Scanner USB UART</t>
  </si>
  <si>
    <t>ESP32</t>
  </si>
  <si>
    <t>TYPE-C 30PIN</t>
  </si>
  <si>
    <t>ITEM</t>
  </si>
  <si>
    <t>DE</t>
  </si>
  <si>
    <t>SRD-05VDC-SL-C</t>
  </si>
  <si>
    <t>รีเลย์ 5V 10A 250V</t>
  </si>
  <si>
    <t>QTY</t>
  </si>
  <si>
    <t>PICE</t>
  </si>
  <si>
    <t>TOTAL</t>
  </si>
  <si>
    <t>HLK-5M05 5VDC 5W</t>
  </si>
  <si>
    <t>AC-DC 5V 5W</t>
  </si>
  <si>
    <t>ULN2003</t>
  </si>
  <si>
    <t>High-Current Darlington Transistor Arrays 7CH</t>
  </si>
  <si>
    <t>RFID</t>
  </si>
  <si>
    <t>ACR122U - A9</t>
  </si>
  <si>
    <t>บัตรคีย์การ์ด PVC RFID ความถี่ 13.56 MHz</t>
  </si>
  <si>
    <t>USB 13.56MHz NFC Reader/Writer RFID Copier Duplicator</t>
  </si>
  <si>
    <t>PCB</t>
  </si>
  <si>
    <t>RC522</t>
  </si>
  <si>
    <t>RC522 RFID</t>
  </si>
  <si>
    <t>LAMP-GREEN</t>
  </si>
  <si>
    <t>LAMP-RED ALARM</t>
  </si>
  <si>
    <t>LAMP-G</t>
  </si>
  <si>
    <t>LAMP-R</t>
  </si>
  <si>
    <t>PETG Filament</t>
  </si>
  <si>
    <t>Hi Speed PETG Filament (Jamg he) 1.75 , 1 kg by In2real3d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</si>
</sst>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4" fontId="0" fillId="0" borderId="0" xfId="0" applyNumberFormat="1"/>
    <xf numFmtId="4" fontId="0" fillId="0" borderId="0" xfId="0" applyNumberFormat="1" applyAlignment="1">
      <alignment wrapText="1"/>
    </xf>
    <xf numFmtId="43" fontId="0" fillId="0" borderId="0" xfId="1" applyFont="1"/>
    <xf numFmtId="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4:T26"/>
  <sheetViews>
    <sheetView tabSelected="1" workbookViewId="0">
      <selection activeCell="K27" sqref="K27"/>
    </sheetView>
  </sheetViews>
  <sheetFormatPr defaultRowHeight="15" x14ac:dyDescent="0.25"/>
  <cols>
    <col min="10" max="10" width="26.7109375" customWidth="1"/>
    <col min="11" max="11" width="52.28515625" bestFit="1" customWidth="1"/>
    <col min="19" max="19" width="14.7109375" style="3" customWidth="1"/>
  </cols>
  <sheetData>
    <row r="4" spans="9:20" x14ac:dyDescent="0.25">
      <c r="I4" t="s">
        <v>0</v>
      </c>
      <c r="J4" t="s">
        <v>5</v>
      </c>
      <c r="K4" t="s">
        <v>6</v>
      </c>
      <c r="L4" t="s">
        <v>9</v>
      </c>
      <c r="M4" t="s">
        <v>10</v>
      </c>
      <c r="N4" t="s">
        <v>11</v>
      </c>
    </row>
    <row r="5" spans="9:20" x14ac:dyDescent="0.25">
      <c r="I5">
        <v>1</v>
      </c>
      <c r="J5" t="s">
        <v>1</v>
      </c>
      <c r="K5" t="s">
        <v>2</v>
      </c>
      <c r="L5">
        <v>2</v>
      </c>
      <c r="M5">
        <v>640.57000000000005</v>
      </c>
      <c r="N5">
        <f>M5*L5</f>
        <v>1281.1400000000001</v>
      </c>
      <c r="Q5" s="1">
        <v>6405.66</v>
      </c>
      <c r="R5">
        <v>10</v>
      </c>
      <c r="S5" s="3">
        <f>Q5/R5</f>
        <v>640.56600000000003</v>
      </c>
    </row>
    <row r="6" spans="9:20" x14ac:dyDescent="0.25">
      <c r="I6">
        <v>2</v>
      </c>
      <c r="J6" t="s">
        <v>3</v>
      </c>
      <c r="K6" t="s">
        <v>4</v>
      </c>
      <c r="L6">
        <v>1</v>
      </c>
      <c r="M6">
        <v>128.19999999999999</v>
      </c>
      <c r="N6">
        <f t="shared" ref="N6:N24" si="0">M6*L6</f>
        <v>128.19999999999999</v>
      </c>
      <c r="O6" s="1"/>
      <c r="Q6" s="2">
        <v>1281.98</v>
      </c>
      <c r="R6">
        <v>10</v>
      </c>
      <c r="S6" s="3">
        <f t="shared" ref="S6:S9" si="1">Q6/R6</f>
        <v>128.19800000000001</v>
      </c>
    </row>
    <row r="7" spans="9:20" x14ac:dyDescent="0.25">
      <c r="I7">
        <v>3</v>
      </c>
      <c r="J7" t="s">
        <v>7</v>
      </c>
      <c r="K7" t="s">
        <v>8</v>
      </c>
      <c r="L7">
        <v>5</v>
      </c>
      <c r="M7">
        <v>8.35</v>
      </c>
      <c r="N7">
        <f t="shared" si="0"/>
        <v>41.75</v>
      </c>
      <c r="Q7">
        <v>417.5</v>
      </c>
      <c r="R7">
        <v>50</v>
      </c>
      <c r="S7" s="3">
        <f t="shared" si="1"/>
        <v>8.35</v>
      </c>
    </row>
    <row r="8" spans="9:20" x14ac:dyDescent="0.25">
      <c r="I8">
        <v>5</v>
      </c>
      <c r="J8" t="s">
        <v>14</v>
      </c>
      <c r="K8" t="s">
        <v>15</v>
      </c>
      <c r="L8">
        <v>1</v>
      </c>
      <c r="M8">
        <v>4.58</v>
      </c>
      <c r="N8">
        <f>M8*L8</f>
        <v>4.58</v>
      </c>
      <c r="Q8">
        <f>120+17.5</f>
        <v>137.5</v>
      </c>
      <c r="R8">
        <v>30</v>
      </c>
      <c r="S8" s="3">
        <f>Q8/R8</f>
        <v>4.583333333333333</v>
      </c>
    </row>
    <row r="9" spans="9:20" x14ac:dyDescent="0.25">
      <c r="I9">
        <v>4</v>
      </c>
      <c r="J9" t="s">
        <v>12</v>
      </c>
      <c r="K9" t="s">
        <v>13</v>
      </c>
      <c r="L9">
        <v>1</v>
      </c>
      <c r="M9">
        <v>99</v>
      </c>
      <c r="N9">
        <f t="shared" si="0"/>
        <v>99</v>
      </c>
      <c r="Q9">
        <v>495</v>
      </c>
      <c r="R9">
        <v>5</v>
      </c>
      <c r="S9" s="3">
        <f>Q9/R9</f>
        <v>99</v>
      </c>
    </row>
    <row r="10" spans="9:20" x14ac:dyDescent="0.25">
      <c r="I10">
        <v>6</v>
      </c>
      <c r="J10" t="s">
        <v>21</v>
      </c>
      <c r="K10" t="s">
        <v>22</v>
      </c>
      <c r="L10">
        <v>1</v>
      </c>
      <c r="M10">
        <v>45.8</v>
      </c>
      <c r="N10">
        <f t="shared" si="0"/>
        <v>45.8</v>
      </c>
      <c r="Q10">
        <v>229</v>
      </c>
      <c r="R10">
        <v>5</v>
      </c>
      <c r="S10" s="3">
        <f t="shared" ref="S10" si="2">Q10/R10</f>
        <v>45.8</v>
      </c>
    </row>
    <row r="11" spans="9:20" x14ac:dyDescent="0.25">
      <c r="I11">
        <v>7</v>
      </c>
      <c r="J11" t="s">
        <v>25</v>
      </c>
      <c r="K11" t="s">
        <v>23</v>
      </c>
      <c r="L11">
        <v>2</v>
      </c>
      <c r="M11">
        <v>9</v>
      </c>
      <c r="N11">
        <f t="shared" si="0"/>
        <v>18</v>
      </c>
    </row>
    <row r="12" spans="9:20" x14ac:dyDescent="0.25">
      <c r="I12">
        <v>8</v>
      </c>
      <c r="J12" t="s">
        <v>26</v>
      </c>
      <c r="K12" t="s">
        <v>24</v>
      </c>
      <c r="L12">
        <v>2</v>
      </c>
      <c r="M12">
        <v>29</v>
      </c>
      <c r="N12">
        <f t="shared" si="0"/>
        <v>58</v>
      </c>
    </row>
    <row r="13" spans="9:20" x14ac:dyDescent="0.25">
      <c r="I13">
        <v>9</v>
      </c>
      <c r="N13">
        <f t="shared" si="0"/>
        <v>0</v>
      </c>
    </row>
    <row r="14" spans="9:20" x14ac:dyDescent="0.25">
      <c r="I14">
        <v>10</v>
      </c>
      <c r="N14">
        <f t="shared" si="0"/>
        <v>0</v>
      </c>
    </row>
    <row r="15" spans="9:20" x14ac:dyDescent="0.25">
      <c r="I15">
        <v>11</v>
      </c>
      <c r="N15">
        <f t="shared" si="0"/>
        <v>0</v>
      </c>
    </row>
    <row r="16" spans="9:20" x14ac:dyDescent="0.25">
      <c r="I16">
        <v>12</v>
      </c>
      <c r="J16" t="s">
        <v>16</v>
      </c>
      <c r="K16" t="s">
        <v>18</v>
      </c>
      <c r="L16">
        <v>5</v>
      </c>
      <c r="M16">
        <v>8</v>
      </c>
      <c r="N16">
        <f t="shared" si="0"/>
        <v>40</v>
      </c>
      <c r="Q16">
        <v>100</v>
      </c>
      <c r="R16">
        <v>8</v>
      </c>
      <c r="S16" s="3">
        <f>R16*Q16</f>
        <v>800</v>
      </c>
      <c r="T16" s="4">
        <v>1589</v>
      </c>
    </row>
    <row r="17" spans="9:19" x14ac:dyDescent="0.25">
      <c r="I17">
        <v>13</v>
      </c>
      <c r="J17" t="s">
        <v>17</v>
      </c>
      <c r="K17" t="s">
        <v>19</v>
      </c>
      <c r="L17">
        <v>1</v>
      </c>
      <c r="M17">
        <v>109</v>
      </c>
      <c r="N17">
        <f t="shared" si="0"/>
        <v>109</v>
      </c>
      <c r="Q17">
        <v>1</v>
      </c>
      <c r="R17">
        <v>950</v>
      </c>
      <c r="S17" s="3">
        <f>R17*Q17</f>
        <v>950</v>
      </c>
    </row>
    <row r="18" spans="9:19" x14ac:dyDescent="0.25">
      <c r="I18">
        <v>14</v>
      </c>
      <c r="J18" t="s">
        <v>20</v>
      </c>
      <c r="L18">
        <v>1</v>
      </c>
      <c r="M18">
        <v>500</v>
      </c>
      <c r="N18">
        <f t="shared" si="0"/>
        <v>500</v>
      </c>
    </row>
    <row r="19" spans="9:19" x14ac:dyDescent="0.25">
      <c r="I19">
        <v>15</v>
      </c>
      <c r="J19" t="s">
        <v>27</v>
      </c>
      <c r="K19" t="s">
        <v>28</v>
      </c>
      <c r="L19">
        <v>1</v>
      </c>
      <c r="M19">
        <v>340</v>
      </c>
      <c r="N19">
        <f t="shared" si="0"/>
        <v>340</v>
      </c>
    </row>
    <row r="20" spans="9:19" x14ac:dyDescent="0.25">
      <c r="I20">
        <v>16</v>
      </c>
      <c r="N20">
        <f t="shared" si="0"/>
        <v>0</v>
      </c>
    </row>
    <row r="21" spans="9:19" x14ac:dyDescent="0.25">
      <c r="I21">
        <v>17</v>
      </c>
      <c r="N21">
        <f t="shared" si="0"/>
        <v>0</v>
      </c>
    </row>
    <row r="22" spans="9:19" x14ac:dyDescent="0.25">
      <c r="I22">
        <v>18</v>
      </c>
      <c r="N22">
        <f t="shared" si="0"/>
        <v>0</v>
      </c>
    </row>
    <row r="23" spans="9:19" x14ac:dyDescent="0.25">
      <c r="I23">
        <v>19</v>
      </c>
      <c r="N23">
        <f t="shared" si="0"/>
        <v>0</v>
      </c>
    </row>
    <row r="24" spans="9:19" x14ac:dyDescent="0.25">
      <c r="I24">
        <v>20</v>
      </c>
      <c r="N24">
        <f t="shared" si="0"/>
        <v>0</v>
      </c>
    </row>
    <row r="26" spans="9:19" x14ac:dyDescent="0.25">
      <c r="N26">
        <f>SUM(N5:N24)</f>
        <v>2665.4700000000003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วีรชัย คำพันธ์</dc:creator>
  <cp:lastModifiedBy>Weerachai Khampant</cp:lastModifiedBy>
  <dcterms:created xsi:type="dcterms:W3CDTF">2015-06-05T18:17:20Z</dcterms:created>
  <dcterms:modified xsi:type="dcterms:W3CDTF">2025-12-15T09:52:49Z</dcterms:modified>
</cp:coreProperties>
</file>