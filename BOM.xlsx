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rom_\CWT-Thread-Verification\"/>
    </mc:Choice>
  </mc:AlternateContent>
  <xr:revisionPtr revIDLastSave="0" documentId="13_ncr:1_{FC7562D8-6EF0-46F3-9F6B-BC91CD0776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VS2102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I12" i="1" s="1"/>
  <c r="Q37" i="1"/>
  <c r="P37" i="1" s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S31" i="1"/>
  <c r="S32" i="1"/>
  <c r="H31" i="1"/>
  <c r="I31" i="1" s="1"/>
  <c r="G31" i="1"/>
  <c r="H32" i="1"/>
  <c r="I32" i="1" s="1"/>
  <c r="G32" i="1"/>
  <c r="H30" i="1"/>
  <c r="I30" i="1" s="1"/>
  <c r="G30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37" i="1"/>
  <c r="G27" i="1"/>
  <c r="G28" i="1"/>
  <c r="G29" i="1"/>
  <c r="G33" i="1"/>
  <c r="G34" i="1"/>
  <c r="G35" i="1"/>
  <c r="G36" i="1"/>
  <c r="G38" i="1"/>
  <c r="G39" i="1"/>
  <c r="G12" i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37" i="1"/>
  <c r="I37" i="1" s="1"/>
  <c r="H27" i="1"/>
  <c r="I27" i="1" s="1"/>
  <c r="H28" i="1"/>
  <c r="I28" i="1" s="1"/>
  <c r="H29" i="1"/>
  <c r="I29" i="1" s="1"/>
  <c r="H33" i="1"/>
  <c r="I33" i="1" s="1"/>
  <c r="H34" i="1"/>
  <c r="I34" i="1" s="1"/>
  <c r="H35" i="1"/>
  <c r="I35" i="1" s="1"/>
  <c r="H36" i="1"/>
  <c r="I36" i="1" s="1"/>
  <c r="H38" i="1"/>
  <c r="I38" i="1" s="1"/>
  <c r="H39" i="1"/>
  <c r="I39" i="1" s="1"/>
  <c r="P20" i="1"/>
  <c r="S20" i="1" s="1"/>
  <c r="P21" i="1"/>
  <c r="P22" i="1"/>
  <c r="P25" i="1"/>
  <c r="S25" i="1" s="1"/>
  <c r="S26" i="1"/>
  <c r="P28" i="1"/>
  <c r="S28" i="1" s="1"/>
  <c r="P29" i="1"/>
  <c r="S29" i="1" s="1"/>
  <c r="R22" i="1"/>
  <c r="S23" i="1"/>
  <c r="R21" i="1"/>
  <c r="S16" i="1"/>
  <c r="S17" i="1"/>
  <c r="S39" i="1"/>
  <c r="S38" i="1"/>
  <c r="S13" i="1"/>
  <c r="S14" i="1"/>
  <c r="S12" i="1"/>
  <c r="Q15" i="1"/>
  <c r="S15" i="1" s="1"/>
  <c r="S21" i="1" l="1"/>
  <c r="S22" i="1"/>
  <c r="I41" i="1"/>
  <c r="I42" i="1" s="1"/>
  <c r="G41" i="1"/>
  <c r="K14" i="1" l="1"/>
  <c r="L14" i="1" s="1"/>
  <c r="K15" i="1"/>
  <c r="L15" i="1" s="1"/>
  <c r="K26" i="1"/>
  <c r="L26" i="1" s="1"/>
  <c r="K28" i="1"/>
  <c r="L28" i="1" s="1"/>
  <c r="K27" i="1"/>
  <c r="L27" i="1" s="1"/>
  <c r="K36" i="1"/>
  <c r="L36" i="1" s="1"/>
  <c r="G42" i="1"/>
  <c r="K13" i="1"/>
  <c r="L13" i="1" s="1"/>
  <c r="K39" i="1"/>
  <c r="L39" i="1" s="1"/>
  <c r="K21" i="1"/>
  <c r="L21" i="1" s="1"/>
  <c r="K18" i="1"/>
  <c r="L18" i="1" s="1"/>
  <c r="K12" i="1"/>
  <c r="L12" i="1" s="1"/>
  <c r="K34" i="1"/>
  <c r="L34" i="1" s="1"/>
  <c r="K38" i="1"/>
  <c r="L38" i="1" s="1"/>
  <c r="K25" i="1"/>
  <c r="L25" i="1" s="1"/>
  <c r="K16" i="1"/>
  <c r="L16" i="1" s="1"/>
  <c r="K29" i="1"/>
  <c r="L29" i="1" s="1"/>
  <c r="K17" i="1"/>
  <c r="L17" i="1" s="1"/>
  <c r="K19" i="1"/>
  <c r="L19" i="1" s="1"/>
  <c r="K23" i="1"/>
  <c r="L23" i="1" s="1"/>
  <c r="K37" i="1"/>
  <c r="L37" i="1" s="1"/>
  <c r="K20" i="1"/>
  <c r="L20" i="1" s="1"/>
  <c r="K22" i="1"/>
  <c r="L22" i="1" s="1"/>
  <c r="K32" i="1"/>
  <c r="L32" i="1" s="1"/>
  <c r="K31" i="1"/>
  <c r="L31" i="1" s="1"/>
  <c r="K33" i="1"/>
  <c r="L33" i="1" s="1"/>
  <c r="K24" i="1"/>
  <c r="L24" i="1" s="1"/>
  <c r="K30" i="1"/>
  <c r="L30" i="1" s="1"/>
  <c r="K35" i="1"/>
  <c r="L35" i="1" s="1"/>
  <c r="G45" i="1"/>
  <c r="I45" i="1"/>
  <c r="L41" i="1" l="1"/>
  <c r="K41" i="1"/>
</calcChain>
</file>

<file path=xl/sharedStrings.xml><?xml version="1.0" encoding="utf-8"?>
<sst xmlns="http://schemas.openxmlformats.org/spreadsheetml/2006/main" count="108" uniqueCount="87">
  <si>
    <t>NO.</t>
  </si>
  <si>
    <t>GM65</t>
  </si>
  <si>
    <t>1D 2D Barcode Scanner USB UART</t>
  </si>
  <si>
    <t>ESP32</t>
  </si>
  <si>
    <t>TYPE-C 30PIN</t>
  </si>
  <si>
    <t>ITEM</t>
  </si>
  <si>
    <t>SRD-05VDC-SL-C</t>
  </si>
  <si>
    <t>รีเลย์ 5V 10A 250V</t>
  </si>
  <si>
    <t>QTY</t>
  </si>
  <si>
    <t>TOTAL</t>
  </si>
  <si>
    <t>HLK-5M05 5VDC 5W</t>
  </si>
  <si>
    <t>AC-DC 5V 5W</t>
  </si>
  <si>
    <t>ULN2003</t>
  </si>
  <si>
    <t>High-Current Darlington Transistor Arrays 7CH</t>
  </si>
  <si>
    <t>RFID</t>
  </si>
  <si>
    <t>ACR122U - A9</t>
  </si>
  <si>
    <t>บัตรคีย์การ์ด PVC RFID ความถี่ 13.56 MHz</t>
  </si>
  <si>
    <t>USB 13.56MHz NFC Reader/Writer RFID Copier Duplicator</t>
  </si>
  <si>
    <t>PCB</t>
  </si>
  <si>
    <t>RC522</t>
  </si>
  <si>
    <t>RC522 RFID</t>
  </si>
  <si>
    <t>LAMP-GREEN</t>
  </si>
  <si>
    <t>LAMP-RED ALARM</t>
  </si>
  <si>
    <t>LAMP-G</t>
  </si>
  <si>
    <t>LAMP-R</t>
  </si>
  <si>
    <t>PETG Filament</t>
  </si>
  <si>
    <t>จำนวน</t>
  </si>
  <si>
    <t>ราคา</t>
  </si>
  <si>
    <t>Fuse</t>
  </si>
  <si>
    <t>1A 250V 392ฟิวส์สี่เหลี่ยม</t>
  </si>
  <si>
    <t>Header Connector</t>
  </si>
  <si>
    <t>15Pin 2.54Mm Pitch 1x15Pin</t>
  </si>
  <si>
    <t>Photoelectric</t>
  </si>
  <si>
    <t>Optocoupler ก้ามปู</t>
  </si>
  <si>
    <t>R, D, LED, Nut</t>
  </si>
  <si>
    <t xml:space="preserve">JST XH2.54 Terminal XH 2.54 มม.Pitch 5 Pin </t>
  </si>
  <si>
    <t xml:space="preserve">JST XH2.54 Terminal XH 2.54 มม.Pitch 3 Pin </t>
  </si>
  <si>
    <t>Terminal XH 2.54 Pin 5</t>
  </si>
  <si>
    <t>Terminal XH 2.54 Pin 3</t>
  </si>
  <si>
    <t>KV142V 5.08P</t>
  </si>
  <si>
    <t>BC547</t>
  </si>
  <si>
    <t>NPN Transistor</t>
  </si>
  <si>
    <t>Switch</t>
  </si>
  <si>
    <t>3A/250V</t>
  </si>
  <si>
    <t>KF142V 5.08 มิลลิเมตร PCB สปริง</t>
  </si>
  <si>
    <t>ค่าแรง</t>
  </si>
  <si>
    <t>ค่าไฟ</t>
  </si>
  <si>
    <t>ตะกั่ว</t>
  </si>
  <si>
    <t>TOTAL*x</t>
  </si>
  <si>
    <t>สายไฟ 220V 2x0.5 sqm 2M.</t>
  </si>
  <si>
    <t>สายไฟ AC</t>
  </si>
  <si>
    <t>บุชชิ่งล็อคสายไฟ</t>
  </si>
  <si>
    <t>BS-4N-4</t>
  </si>
  <si>
    <t>ปลั๊กเสียบ 16A 250V</t>
  </si>
  <si>
    <t>ปลั๊กเสียบ</t>
  </si>
  <si>
    <t>PETG Filament 1.75 , 1 kg</t>
  </si>
  <si>
    <t>PCB V1.0</t>
  </si>
  <si>
    <t>15EDG 3.81-4</t>
  </si>
  <si>
    <t>เทอร์มินัลปลั๊กเสียบ ขนาด3.81มม. ด้านหลัง</t>
  </si>
  <si>
    <t>TT Pice</t>
  </si>
  <si>
    <t>Detail</t>
  </si>
  <si>
    <t>% Pice</t>
  </si>
  <si>
    <t>Pice</t>
  </si>
  <si>
    <t>Pice *x</t>
  </si>
  <si>
    <t>TVS2102</t>
  </si>
  <si>
    <t>Name</t>
  </si>
  <si>
    <t>Specifications</t>
  </si>
  <si>
    <t>เครื่อตรวจสอบความถูกต้อง</t>
  </si>
  <si>
    <t>ของด้าย (QR-Code)</t>
  </si>
  <si>
    <t xml:space="preserve">Thread Verification </t>
  </si>
  <si>
    <t>System</t>
  </si>
  <si>
    <t>Dual Spool Verification: รองรับการตรวจสอบด้ายพร้อมกัน 2 หลอด (เข็มคู่/ลูกโซ่)</t>
  </si>
  <si>
    <t>Kanban RFID Integration: โหลดข้อมูลสินค้าผ่านบัตร RFID โดยไม่ต้องคีย์ข้อมูลหน้าเครื่อง</t>
  </si>
  <si>
    <t xml:space="preserve">Auto-Trigger System: ระบบเริ่มอ่านค่าอัตโนมัติเมื่อเซ็นเซอร์ตรวจจับหลอดด้ายทำงาน (Induction Mode Support) </t>
  </si>
  <si>
    <t>Bypass Security: มีโหมด Bypass สำหรับกรณีฉุกเฉินหรือซ่อมบำรุง โดยต้องใช้สิทธิ์ Master Card หรือคำสั่งเฉพาะ</t>
  </si>
  <si>
    <t>Model</t>
  </si>
  <si>
    <t>1. General Description (รายละเอียดทั่วไป) อุปกรณ์ TVS2102 ออกแบบมาเพื่อป้องกันความผิดพลาดในการเลือกใช้ด้าย (Human Error) ในกระบวนการผลิต โดยใช้เทคโนโลยีการอ่านรหัส QR Code แบบคู่ (Dual Scanning) เทียบกับข้อมูลคำสั่งผลิตจากบัตร RFID (Kanban) ระบบจะทำการล็อคเครื่องจักรทันทีหากพบความผิดปกติ</t>
  </si>
  <si>
    <t>2. Hardware Specifications (คุณสมบัติฮาร์ดแวร์)</t>
  </si>
  <si>
    <t>3. Functional Features (ความสามารถการทำงาน)</t>
  </si>
  <si>
    <t>Sensor Interface (อินเตอร์เฟซและระบบตรวจจับ)</t>
  </si>
  <si>
    <t>2x Spool Presence Sensors (Digital Input): เซ็นเซอร์ตรวจจับหลอดด้ายจำนวน 2 ตำแหน่ง (รองรับสัญญาณอินพุตแบบดิจิทัล)</t>
  </si>
  <si>
    <t>Safety &amp; Control Output (ระบบความปลอดภัยและควบคุมเอาต์พุต)</t>
  </si>
  <si>
    <t>Output Type: Dry Contact Relay (Normally Open - NO): รีเลย์เอาต์พุตแบบหน้าสัมผัสแห้ง ชนิดปกติเปิด (NO)</t>
  </si>
  <si>
    <t>Function: Machine Interlock: ระบบอินเตอร์ล็อคควบคุมเครื่องจักร (ตัดวงจรการทำงานทันทีเมื่อตรวจสอบพบด้ายผิดประเภท)</t>
  </si>
  <si>
    <t>Human-Machine Interface (HMI) (ส่วนติดต่อผู้ใช้งานและแจ้งเตือน)</t>
  </si>
  <si>
    <t>Indicators: 2x Green LEDs (Correct), 2x Red LEDs (Incorrect/Alarm): ไฟ LED แสดงสถานะ 4 ดวง (สีเขียว 2 ดวงเมื่อข้อมูลถูกต้อง, สีแดง 2 ดวงเมื่อข้อมูลผิดพลาด/แจ้งเตือน)</t>
  </si>
  <si>
    <t>Audible Alarm: Buzzer (Active High/Low Configurable): เสียงสัญญาณเตือนภัยแบบ Buzzer (สามารถตั้งค่าระดับสัญญาณกระตุ้น Active High หรือ Low ได้ตามความเหมาะสม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</si>
</sst>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9" formatCode="&quot; - &quot;\ 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omic Sans MS"/>
      <family val="4"/>
    </font>
    <font>
      <b/>
      <sz val="11"/>
      <color rgb="FF006100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8">
    <xf numFmtId="0" fontId="0" fillId="0" borderId="0" xfId="0"/>
    <xf numFmtId="0" fontId="4" fillId="2" borderId="1" xfId="3" applyFont="1" applyBorder="1" applyAlignment="1">
      <alignment horizontal="center" vertical="center"/>
    </xf>
    <xf numFmtId="0" fontId="4" fillId="2" borderId="1" xfId="3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9" fontId="3" fillId="0" borderId="0" xfId="2" applyFont="1" applyAlignment="1">
      <alignment vertical="center"/>
    </xf>
    <xf numFmtId="43" fontId="3" fillId="0" borderId="0" xfId="1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4" fontId="3" fillId="0" borderId="0" xfId="0" applyNumberFormat="1" applyFont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4" fontId="3" fillId="0" borderId="0" xfId="0" applyNumberFormat="1" applyFont="1" applyAlignment="1">
      <alignment vertical="center" wrapText="1"/>
    </xf>
    <xf numFmtId="2" fontId="3" fillId="0" borderId="0" xfId="0" applyNumberFormat="1" applyFont="1" applyAlignment="1">
      <alignment vertical="center"/>
    </xf>
    <xf numFmtId="8" fontId="3" fillId="0" borderId="0" xfId="0" applyNumberFormat="1" applyFont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43" fontId="3" fillId="0" borderId="2" xfId="1" applyFont="1" applyBorder="1" applyAlignment="1">
      <alignment vertical="center"/>
    </xf>
    <xf numFmtId="43" fontId="3" fillId="0" borderId="3" xfId="1" applyFont="1" applyBorder="1" applyAlignment="1">
      <alignment vertical="center"/>
    </xf>
    <xf numFmtId="43" fontId="3" fillId="0" borderId="4" xfId="1" applyFont="1" applyBorder="1" applyAlignment="1">
      <alignment vertical="center"/>
    </xf>
    <xf numFmtId="43" fontId="3" fillId="0" borderId="6" xfId="1" applyFont="1" applyBorder="1" applyAlignment="1">
      <alignment vertical="center"/>
    </xf>
    <xf numFmtId="43" fontId="3" fillId="0" borderId="7" xfId="1" applyFont="1" applyBorder="1" applyAlignment="1">
      <alignment vertical="center"/>
    </xf>
    <xf numFmtId="43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horizontal="center" vertical="center"/>
    </xf>
    <xf numFmtId="43" fontId="3" fillId="0" borderId="0" xfId="1" applyFont="1" applyBorder="1" applyAlignment="1">
      <alignment vertical="center"/>
    </xf>
    <xf numFmtId="9" fontId="3" fillId="0" borderId="3" xfId="2" applyFont="1" applyBorder="1" applyAlignment="1">
      <alignment vertical="center"/>
    </xf>
    <xf numFmtId="9" fontId="3" fillId="0" borderId="8" xfId="2" applyFont="1" applyBorder="1" applyAlignment="1">
      <alignment vertical="center"/>
    </xf>
    <xf numFmtId="43" fontId="3" fillId="0" borderId="8" xfId="2" applyNumberFormat="1" applyFont="1" applyBorder="1" applyAlignment="1">
      <alignment vertical="center"/>
    </xf>
    <xf numFmtId="9" fontId="3" fillId="0" borderId="9" xfId="2" applyFont="1" applyBorder="1" applyAlignment="1">
      <alignment vertical="center"/>
    </xf>
    <xf numFmtId="43" fontId="3" fillId="0" borderId="9" xfId="1" applyFont="1" applyBorder="1" applyAlignment="1">
      <alignment vertical="center"/>
    </xf>
    <xf numFmtId="43" fontId="3" fillId="0" borderId="9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43" fontId="3" fillId="0" borderId="4" xfId="1" applyFont="1" applyBorder="1" applyAlignment="1">
      <alignment horizontal="center" vertical="center"/>
    </xf>
    <xf numFmtId="43" fontId="3" fillId="0" borderId="8" xfId="2" applyNumberFormat="1" applyFont="1" applyBorder="1" applyAlignment="1">
      <alignment horizontal="center" vertical="center"/>
    </xf>
    <xf numFmtId="0" fontId="4" fillId="2" borderId="0" xfId="3" applyFont="1" applyBorder="1" applyAlignment="1">
      <alignment horizontal="center" vertical="center"/>
    </xf>
    <xf numFmtId="43" fontId="3" fillId="0" borderId="0" xfId="1" applyFont="1" applyAlignment="1">
      <alignment horizontal="center" vertical="center"/>
    </xf>
    <xf numFmtId="0" fontId="4" fillId="2" borderId="5" xfId="3" applyFont="1" applyBorder="1" applyAlignment="1">
      <alignment horizontal="center" vertical="center"/>
    </xf>
    <xf numFmtId="0" fontId="4" fillId="2" borderId="7" xfId="3" applyFont="1" applyBorder="1" applyAlignment="1">
      <alignment horizontal="center" vertical="center"/>
    </xf>
    <xf numFmtId="0" fontId="3" fillId="0" borderId="10" xfId="0" applyFont="1" applyBorder="1" applyAlignment="1">
      <alignment horizontal="right" vertical="center"/>
    </xf>
    <xf numFmtId="0" fontId="3" fillId="0" borderId="10" xfId="0" applyFont="1" applyBorder="1" applyAlignment="1">
      <alignment vertical="center"/>
    </xf>
    <xf numFmtId="43" fontId="3" fillId="0" borderId="10" xfId="1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vertical="center"/>
    </xf>
    <xf numFmtId="0" fontId="3" fillId="0" borderId="11" xfId="0" applyFont="1" applyBorder="1" applyAlignment="1">
      <alignment horizontal="right" vertical="center"/>
    </xf>
    <xf numFmtId="0" fontId="3" fillId="0" borderId="11" xfId="0" applyFont="1" applyBorder="1" applyAlignment="1">
      <alignment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vertical="center"/>
    </xf>
    <xf numFmtId="169" fontId="3" fillId="0" borderId="10" xfId="0" applyNumberFormat="1" applyFont="1" applyBorder="1" applyAlignment="1">
      <alignment vertical="center"/>
    </xf>
    <xf numFmtId="169" fontId="3" fillId="0" borderId="11" xfId="0" applyNumberFormat="1" applyFont="1" applyBorder="1" applyAlignment="1">
      <alignment vertical="center"/>
    </xf>
    <xf numFmtId="169" fontId="3" fillId="0" borderId="8" xfId="0" applyNumberFormat="1" applyFont="1" applyBorder="1" applyAlignment="1">
      <alignment vertical="center"/>
    </xf>
  </cellXfs>
  <cellStyles count="4">
    <cellStyle name="Comma" xfId="1" builtinId="3"/>
    <cellStyle name="Good" xfId="3" builtinId="2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419100</xdr:colOff>
      <xdr:row>21</xdr:row>
      <xdr:rowOff>171450</xdr:rowOff>
    </xdr:from>
    <xdr:to>
      <xdr:col>27</xdr:col>
      <xdr:colOff>542452</xdr:colOff>
      <xdr:row>50</xdr:row>
      <xdr:rowOff>180214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7284DF-38F7-C5CC-2EC4-358879624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11675" y="3124200"/>
          <a:ext cx="3780952" cy="60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47"/>
  <sheetViews>
    <sheetView showGridLines="0" tabSelected="1" workbookViewId="0">
      <selection activeCell="G5" sqref="G5"/>
    </sheetView>
  </sheetViews>
  <sheetFormatPr defaultRowHeight="16.5" outlineLevelCol="1" x14ac:dyDescent="0.25"/>
  <cols>
    <col min="1" max="1" width="9.140625" style="4"/>
    <col min="2" max="2" width="10.42578125" style="3" bestFit="1" customWidth="1"/>
    <col min="3" max="3" width="26.7109375" style="4" customWidth="1"/>
    <col min="4" max="4" width="52.28515625" style="4" bestFit="1" customWidth="1"/>
    <col min="5" max="5" width="8.28515625" style="3" customWidth="1"/>
    <col min="6" max="6" width="13" style="4" customWidth="1"/>
    <col min="7" max="9" width="14" style="4" customWidth="1"/>
    <col min="10" max="10" width="3.42578125" style="4" hidden="1" customWidth="1" outlineLevel="1"/>
    <col min="11" max="12" width="14" style="4" hidden="1" customWidth="1" outlineLevel="1"/>
    <col min="13" max="13" width="10" style="4" hidden="1" customWidth="1" outlineLevel="1"/>
    <col min="14" max="14" width="9.140625" style="4" collapsed="1"/>
    <col min="15" max="15" width="9.140625" style="4"/>
    <col min="16" max="16" width="9.28515625" style="4" bestFit="1" customWidth="1"/>
    <col min="17" max="17" width="10" style="4" bestFit="1" customWidth="1"/>
    <col min="18" max="18" width="9.28515625" style="4" bestFit="1" customWidth="1"/>
    <col min="19" max="19" width="14.7109375" style="6" customWidth="1"/>
    <col min="20" max="20" width="9.28515625" style="4" bestFit="1" customWidth="1"/>
    <col min="21" max="16384" width="9.140625" style="4"/>
  </cols>
  <sheetData>
    <row r="1" spans="2:19" ht="18" x14ac:dyDescent="0.25">
      <c r="B1" s="1" t="s">
        <v>75</v>
      </c>
      <c r="C1" s="1" t="s">
        <v>65</v>
      </c>
      <c r="D1" s="1" t="s">
        <v>66</v>
      </c>
      <c r="E1" s="40" t="s">
        <v>62</v>
      </c>
      <c r="F1" s="41"/>
      <c r="G1" s="2"/>
      <c r="H1" s="2"/>
      <c r="I1" s="2"/>
    </row>
    <row r="2" spans="2:19" x14ac:dyDescent="0.25">
      <c r="B2" s="42" t="s">
        <v>64</v>
      </c>
      <c r="C2" s="43" t="s">
        <v>67</v>
      </c>
      <c r="D2" s="55" t="s">
        <v>71</v>
      </c>
      <c r="E2" s="44">
        <v>17000</v>
      </c>
      <c r="F2" s="44"/>
      <c r="G2" s="45"/>
      <c r="H2" s="43"/>
      <c r="I2" s="43"/>
      <c r="O2" s="4" t="s">
        <v>71</v>
      </c>
    </row>
    <row r="3" spans="2:19" x14ac:dyDescent="0.25">
      <c r="B3" s="46"/>
      <c r="C3" s="47" t="s">
        <v>68</v>
      </c>
      <c r="D3" s="56" t="s">
        <v>72</v>
      </c>
      <c r="E3" s="48"/>
      <c r="F3" s="48"/>
      <c r="G3" s="49"/>
      <c r="H3" s="47"/>
      <c r="I3" s="47"/>
      <c r="O3" s="4" t="s">
        <v>72</v>
      </c>
    </row>
    <row r="4" spans="2:19" x14ac:dyDescent="0.25">
      <c r="B4" s="46"/>
      <c r="C4" s="47" t="s">
        <v>69</v>
      </c>
      <c r="D4" s="56" t="s">
        <v>73</v>
      </c>
      <c r="E4" s="48"/>
      <c r="F4" s="48"/>
      <c r="G4" s="49"/>
      <c r="H4" s="47"/>
      <c r="I4" s="47"/>
      <c r="O4" s="4" t="s">
        <v>73</v>
      </c>
    </row>
    <row r="5" spans="2:19" x14ac:dyDescent="0.25">
      <c r="B5" s="46"/>
      <c r="C5" s="47" t="s">
        <v>70</v>
      </c>
      <c r="D5" s="56" t="s">
        <v>74</v>
      </c>
      <c r="E5" s="48"/>
      <c r="F5" s="48"/>
      <c r="G5" s="49"/>
      <c r="H5" s="47"/>
      <c r="I5" s="47"/>
      <c r="O5" s="4" t="s">
        <v>74</v>
      </c>
    </row>
    <row r="6" spans="2:19" x14ac:dyDescent="0.25">
      <c r="B6" s="46"/>
      <c r="C6" s="47"/>
      <c r="D6" s="56"/>
      <c r="E6" s="48"/>
      <c r="F6" s="48"/>
      <c r="G6" s="49"/>
      <c r="H6" s="47"/>
      <c r="I6" s="47"/>
    </row>
    <row r="7" spans="2:19" x14ac:dyDescent="0.25">
      <c r="B7" s="50"/>
      <c r="C7" s="47"/>
      <c r="D7" s="56"/>
      <c r="E7" s="48"/>
      <c r="F7" s="48"/>
      <c r="G7" s="49"/>
      <c r="H7" s="47"/>
      <c r="I7" s="47"/>
    </row>
    <row r="8" spans="2:19" x14ac:dyDescent="0.25">
      <c r="B8" s="50"/>
      <c r="C8" s="47"/>
      <c r="D8" s="56"/>
      <c r="E8" s="48"/>
      <c r="F8" s="48"/>
      <c r="G8" s="49"/>
      <c r="H8" s="47"/>
      <c r="I8" s="47"/>
    </row>
    <row r="9" spans="2:19" x14ac:dyDescent="0.25">
      <c r="B9" s="51"/>
      <c r="C9" s="52"/>
      <c r="D9" s="57"/>
      <c r="E9" s="53"/>
      <c r="F9" s="53"/>
      <c r="G9" s="54"/>
      <c r="H9" s="52"/>
      <c r="I9" s="52"/>
    </row>
    <row r="10" spans="2:19" x14ac:dyDescent="0.25">
      <c r="H10" s="5">
        <v>1</v>
      </c>
    </row>
    <row r="11" spans="2:19" s="3" customFormat="1" ht="18" x14ac:dyDescent="0.25">
      <c r="B11" s="1" t="s">
        <v>0</v>
      </c>
      <c r="C11" s="1" t="s">
        <v>5</v>
      </c>
      <c r="D11" s="1" t="s">
        <v>60</v>
      </c>
      <c r="E11" s="1" t="s">
        <v>8</v>
      </c>
      <c r="F11" s="1" t="s">
        <v>62</v>
      </c>
      <c r="G11" s="1" t="s">
        <v>9</v>
      </c>
      <c r="H11" s="1" t="s">
        <v>63</v>
      </c>
      <c r="I11" s="1" t="s">
        <v>48</v>
      </c>
      <c r="J11" s="38"/>
      <c r="K11" s="1" t="s">
        <v>61</v>
      </c>
      <c r="L11" s="1" t="s">
        <v>59</v>
      </c>
      <c r="M11" s="1"/>
      <c r="Q11" s="3" t="s">
        <v>27</v>
      </c>
      <c r="R11" s="3" t="s">
        <v>26</v>
      </c>
      <c r="S11" s="39"/>
    </row>
    <row r="12" spans="2:19" x14ac:dyDescent="0.25">
      <c r="B12" s="7">
        <f>ROW()-4</f>
        <v>8</v>
      </c>
      <c r="C12" s="8" t="s">
        <v>1</v>
      </c>
      <c r="D12" s="8" t="s">
        <v>2</v>
      </c>
      <c r="E12" s="7">
        <v>2</v>
      </c>
      <c r="F12" s="21">
        <v>640.57000000000005</v>
      </c>
      <c r="G12" s="21">
        <f>F12*$E12</f>
        <v>1281.1400000000001</v>
      </c>
      <c r="H12" s="21">
        <f>(F12*$H$10)+F12</f>
        <v>1281.1400000000001</v>
      </c>
      <c r="I12" s="21">
        <f>H12*$E12</f>
        <v>2562.2800000000002</v>
      </c>
      <c r="J12" s="28"/>
      <c r="K12" s="32">
        <f>G12/$G$41</f>
        <v>0.35404006488643491</v>
      </c>
      <c r="L12" s="33">
        <f>K12*$E$2</f>
        <v>6018.6811030693934</v>
      </c>
      <c r="M12" s="34"/>
      <c r="Q12" s="9">
        <v>6405.66</v>
      </c>
      <c r="R12" s="4">
        <v>10</v>
      </c>
      <c r="S12" s="6">
        <f>Q12/R12</f>
        <v>640.56600000000003</v>
      </c>
    </row>
    <row r="13" spans="2:19" x14ac:dyDescent="0.25">
      <c r="B13" s="10">
        <f t="shared" ref="B13:B39" si="0">ROW()-4</f>
        <v>9</v>
      </c>
      <c r="C13" s="11" t="s">
        <v>3</v>
      </c>
      <c r="D13" s="11" t="s">
        <v>4</v>
      </c>
      <c r="E13" s="10">
        <v>1</v>
      </c>
      <c r="F13" s="22">
        <v>128.19999999999999</v>
      </c>
      <c r="G13" s="22">
        <f>F13*$E13</f>
        <v>128.19999999999999</v>
      </c>
      <c r="H13" s="22">
        <f>(F13*$H$10)+F13</f>
        <v>256.39999999999998</v>
      </c>
      <c r="I13" s="22">
        <f>H13*$E13</f>
        <v>256.39999999999998</v>
      </c>
      <c r="J13" s="28"/>
      <c r="K13" s="29">
        <f t="shared" ref="K13:K39" si="1">G13/$G$41</f>
        <v>3.5427772388998045E-2</v>
      </c>
      <c r="L13" s="22">
        <f>K13*$E$2</f>
        <v>602.27213061296675</v>
      </c>
      <c r="M13" s="35"/>
      <c r="Q13" s="12">
        <v>1281.98</v>
      </c>
      <c r="R13" s="4">
        <v>10</v>
      </c>
      <c r="S13" s="6">
        <f t="shared" ref="S13:S14" si="2">Q13/R13</f>
        <v>128.19800000000001</v>
      </c>
    </row>
    <row r="14" spans="2:19" x14ac:dyDescent="0.25">
      <c r="B14" s="10">
        <f t="shared" si="0"/>
        <v>10</v>
      </c>
      <c r="C14" s="11" t="s">
        <v>6</v>
      </c>
      <c r="D14" s="11" t="s">
        <v>7</v>
      </c>
      <c r="E14" s="10">
        <v>5</v>
      </c>
      <c r="F14" s="22">
        <v>8.35</v>
      </c>
      <c r="G14" s="22">
        <f>F14*$E14</f>
        <v>41.75</v>
      </c>
      <c r="H14" s="22">
        <f>(F14*$H$10)+F14</f>
        <v>16.7</v>
      </c>
      <c r="I14" s="22">
        <f>H14*$E14</f>
        <v>83.5</v>
      </c>
      <c r="J14" s="28"/>
      <c r="K14" s="29">
        <f t="shared" si="1"/>
        <v>1.1537515579100377E-2</v>
      </c>
      <c r="L14" s="22">
        <f>K14*$E$2</f>
        <v>196.1377648447064</v>
      </c>
      <c r="M14" s="35" t="s">
        <v>18</v>
      </c>
      <c r="Q14" s="4">
        <v>417.5</v>
      </c>
      <c r="R14" s="4">
        <v>50</v>
      </c>
      <c r="S14" s="6">
        <f t="shared" si="2"/>
        <v>8.35</v>
      </c>
    </row>
    <row r="15" spans="2:19" x14ac:dyDescent="0.25">
      <c r="B15" s="10">
        <f t="shared" si="0"/>
        <v>11</v>
      </c>
      <c r="C15" s="11" t="s">
        <v>12</v>
      </c>
      <c r="D15" s="11" t="s">
        <v>13</v>
      </c>
      <c r="E15" s="10">
        <v>1</v>
      </c>
      <c r="F15" s="22">
        <v>4.58</v>
      </c>
      <c r="G15" s="22">
        <f>F15*$E15</f>
        <v>4.58</v>
      </c>
      <c r="H15" s="22">
        <f>(F15*$H$10)+F15</f>
        <v>9.16</v>
      </c>
      <c r="I15" s="22">
        <f>H15*$E15</f>
        <v>9.16</v>
      </c>
      <c r="J15" s="28"/>
      <c r="K15" s="29">
        <f t="shared" si="1"/>
        <v>1.265672367719275E-3</v>
      </c>
      <c r="L15" s="22">
        <f>K15*$E$2</f>
        <v>21.516430251227675</v>
      </c>
      <c r="M15" s="35" t="s">
        <v>18</v>
      </c>
      <c r="Q15" s="4">
        <f>120+17.5</f>
        <v>137.5</v>
      </c>
      <c r="R15" s="4">
        <v>30</v>
      </c>
      <c r="S15" s="6">
        <f>Q15/R15</f>
        <v>4.583333333333333</v>
      </c>
    </row>
    <row r="16" spans="2:19" x14ac:dyDescent="0.25">
      <c r="B16" s="10">
        <f t="shared" si="0"/>
        <v>12</v>
      </c>
      <c r="C16" s="11" t="s">
        <v>10</v>
      </c>
      <c r="D16" s="11" t="s">
        <v>11</v>
      </c>
      <c r="E16" s="10">
        <v>1</v>
      </c>
      <c r="F16" s="22">
        <v>99</v>
      </c>
      <c r="G16" s="22">
        <f>F16*$E16</f>
        <v>99</v>
      </c>
      <c r="H16" s="22">
        <f>(F16*$H$10)+F16</f>
        <v>198</v>
      </c>
      <c r="I16" s="22">
        <f>H16*$E16</f>
        <v>198</v>
      </c>
      <c r="J16" s="28"/>
      <c r="K16" s="29">
        <f t="shared" si="1"/>
        <v>2.7358420175591314E-2</v>
      </c>
      <c r="L16" s="22">
        <f>K16*$E$2</f>
        <v>465.09314298505234</v>
      </c>
      <c r="M16" s="35" t="s">
        <v>18</v>
      </c>
      <c r="Q16" s="4">
        <v>495</v>
      </c>
      <c r="R16" s="4">
        <v>5</v>
      </c>
      <c r="S16" s="6">
        <f>Q16/R16</f>
        <v>99</v>
      </c>
    </row>
    <row r="17" spans="2:19" x14ac:dyDescent="0.25">
      <c r="B17" s="10">
        <f t="shared" si="0"/>
        <v>13</v>
      </c>
      <c r="C17" s="11" t="s">
        <v>19</v>
      </c>
      <c r="D17" s="11" t="s">
        <v>20</v>
      </c>
      <c r="E17" s="10">
        <v>1</v>
      </c>
      <c r="F17" s="22">
        <v>45.8</v>
      </c>
      <c r="G17" s="22">
        <f>F17*$E17</f>
        <v>45.8</v>
      </c>
      <c r="H17" s="22">
        <f>(F17*$H$10)+F17</f>
        <v>91.6</v>
      </c>
      <c r="I17" s="22">
        <f>H17*$E17</f>
        <v>91.6</v>
      </c>
      <c r="J17" s="28"/>
      <c r="K17" s="29">
        <f t="shared" si="1"/>
        <v>1.2656723677192748E-2</v>
      </c>
      <c r="L17" s="22">
        <f>K17*$E$2</f>
        <v>215.16430251227672</v>
      </c>
      <c r="M17" s="35" t="s">
        <v>18</v>
      </c>
      <c r="Q17" s="4">
        <v>229</v>
      </c>
      <c r="R17" s="4">
        <v>5</v>
      </c>
      <c r="S17" s="6">
        <f t="shared" ref="S17" si="3">Q17/R17</f>
        <v>45.8</v>
      </c>
    </row>
    <row r="18" spans="2:19" x14ac:dyDescent="0.25">
      <c r="B18" s="10">
        <f t="shared" si="0"/>
        <v>14</v>
      </c>
      <c r="C18" s="11" t="s">
        <v>23</v>
      </c>
      <c r="D18" s="11" t="s">
        <v>21</v>
      </c>
      <c r="E18" s="10">
        <v>2</v>
      </c>
      <c r="F18" s="22">
        <v>9</v>
      </c>
      <c r="G18" s="22">
        <f>F18*$E18</f>
        <v>18</v>
      </c>
      <c r="H18" s="22">
        <f>(F18*$H$10)+F18</f>
        <v>18</v>
      </c>
      <c r="I18" s="22">
        <f>H18*$E18</f>
        <v>36</v>
      </c>
      <c r="J18" s="28"/>
      <c r="K18" s="29">
        <f t="shared" si="1"/>
        <v>4.9742582137438755E-3</v>
      </c>
      <c r="L18" s="22">
        <f>K18*$E$2</f>
        <v>84.562389633645878</v>
      </c>
      <c r="M18" s="35"/>
    </row>
    <row r="19" spans="2:19" x14ac:dyDescent="0.25">
      <c r="B19" s="10">
        <f t="shared" si="0"/>
        <v>15</v>
      </c>
      <c r="C19" s="11" t="s">
        <v>24</v>
      </c>
      <c r="D19" s="11" t="s">
        <v>22</v>
      </c>
      <c r="E19" s="10">
        <v>2</v>
      </c>
      <c r="F19" s="22">
        <v>29</v>
      </c>
      <c r="G19" s="22">
        <f>F19*$E19</f>
        <v>58</v>
      </c>
      <c r="H19" s="22">
        <f>(F19*$H$10)+F19</f>
        <v>58</v>
      </c>
      <c r="I19" s="22">
        <f>H19*$E19</f>
        <v>116</v>
      </c>
      <c r="J19" s="28"/>
      <c r="K19" s="29">
        <f t="shared" si="1"/>
        <v>1.6028165355396931E-2</v>
      </c>
      <c r="L19" s="22">
        <f>K19*$E$2</f>
        <v>272.4788110417478</v>
      </c>
      <c r="M19" s="35"/>
    </row>
    <row r="20" spans="2:19" x14ac:dyDescent="0.25">
      <c r="B20" s="10">
        <f t="shared" si="0"/>
        <v>16</v>
      </c>
      <c r="C20" s="11" t="s">
        <v>32</v>
      </c>
      <c r="D20" s="11" t="s">
        <v>33</v>
      </c>
      <c r="E20" s="10">
        <v>2</v>
      </c>
      <c r="F20" s="22">
        <v>0.24</v>
      </c>
      <c r="G20" s="22">
        <f>F20*$E20</f>
        <v>0.48</v>
      </c>
      <c r="H20" s="22">
        <f>(F20*$H$10)+F20</f>
        <v>0.48</v>
      </c>
      <c r="I20" s="22">
        <f>H20*$E20</f>
        <v>0.96</v>
      </c>
      <c r="J20" s="28"/>
      <c r="K20" s="29">
        <f t="shared" si="1"/>
        <v>1.3264688569983668E-4</v>
      </c>
      <c r="L20" s="22">
        <f>K20*$E$2</f>
        <v>2.2549970568972237</v>
      </c>
      <c r="M20" s="35"/>
      <c r="P20" s="13">
        <f t="shared" ref="P20:P28" si="4">Q20*35</f>
        <v>9.4500000000000011</v>
      </c>
      <c r="Q20" s="14">
        <v>0.27</v>
      </c>
      <c r="R20" s="4">
        <v>40</v>
      </c>
      <c r="S20" s="6">
        <f>P20/R20</f>
        <v>0.23625000000000002</v>
      </c>
    </row>
    <row r="21" spans="2:19" x14ac:dyDescent="0.25">
      <c r="B21" s="10">
        <f t="shared" si="0"/>
        <v>17</v>
      </c>
      <c r="C21" s="11" t="s">
        <v>57</v>
      </c>
      <c r="D21" s="11" t="s">
        <v>58</v>
      </c>
      <c r="E21" s="10">
        <v>1</v>
      </c>
      <c r="F21" s="22">
        <v>29.98</v>
      </c>
      <c r="G21" s="22">
        <f>F21*$E21</f>
        <v>29.98</v>
      </c>
      <c r="H21" s="22">
        <f>(F21*$H$10)+F21</f>
        <v>59.96</v>
      </c>
      <c r="I21" s="22">
        <f>H21*$E21</f>
        <v>59.96</v>
      </c>
      <c r="J21" s="28"/>
      <c r="K21" s="29">
        <f t="shared" si="1"/>
        <v>8.2849034026689656E-3</v>
      </c>
      <c r="L21" s="22">
        <f>K21*$E$2</f>
        <v>140.84335784537242</v>
      </c>
      <c r="M21" s="35"/>
      <c r="P21" s="13">
        <f t="shared" si="4"/>
        <v>599.54999999999995</v>
      </c>
      <c r="Q21" s="14">
        <v>17.13</v>
      </c>
      <c r="R21" s="4">
        <f>5*4</f>
        <v>20</v>
      </c>
      <c r="S21" s="6">
        <f t="shared" ref="S21:S22" si="5">P21/R21</f>
        <v>29.977499999999999</v>
      </c>
    </row>
    <row r="22" spans="2:19" x14ac:dyDescent="0.25">
      <c r="B22" s="10">
        <f t="shared" si="0"/>
        <v>18</v>
      </c>
      <c r="C22" s="11" t="s">
        <v>30</v>
      </c>
      <c r="D22" s="11" t="s">
        <v>31</v>
      </c>
      <c r="E22" s="10">
        <v>2</v>
      </c>
      <c r="F22" s="22">
        <v>0.28000000000000003</v>
      </c>
      <c r="G22" s="22">
        <f>F22*$E22</f>
        <v>0.56000000000000005</v>
      </c>
      <c r="H22" s="22">
        <f>(F22*$H$10)+F22</f>
        <v>0.56000000000000005</v>
      </c>
      <c r="I22" s="22">
        <f>H22*$E22</f>
        <v>1.1200000000000001</v>
      </c>
      <c r="J22" s="28"/>
      <c r="K22" s="29">
        <f t="shared" si="1"/>
        <v>1.5475469998314279E-4</v>
      </c>
      <c r="L22" s="22">
        <f>K22*$E$2</f>
        <v>2.6308298997134276</v>
      </c>
      <c r="M22" s="35" t="s">
        <v>18</v>
      </c>
      <c r="P22" s="13">
        <f t="shared" si="4"/>
        <v>22.400000000000002</v>
      </c>
      <c r="Q22" s="14">
        <v>0.64</v>
      </c>
      <c r="R22" s="4">
        <f>20*4</f>
        <v>80</v>
      </c>
      <c r="S22" s="6">
        <f t="shared" si="5"/>
        <v>0.28000000000000003</v>
      </c>
    </row>
    <row r="23" spans="2:19" x14ac:dyDescent="0.25">
      <c r="B23" s="10">
        <f t="shared" si="0"/>
        <v>19</v>
      </c>
      <c r="C23" s="11" t="s">
        <v>37</v>
      </c>
      <c r="D23" s="11" t="s">
        <v>35</v>
      </c>
      <c r="E23" s="10">
        <v>2</v>
      </c>
      <c r="F23" s="22">
        <v>1.46</v>
      </c>
      <c r="G23" s="22">
        <f>F23*$E23</f>
        <v>2.92</v>
      </c>
      <c r="H23" s="22">
        <f>(F23*$H$10)+F23</f>
        <v>2.92</v>
      </c>
      <c r="I23" s="22">
        <f>H23*$E23</f>
        <v>5.84</v>
      </c>
      <c r="J23" s="28"/>
      <c r="K23" s="29">
        <f t="shared" si="1"/>
        <v>8.0693522134067306E-4</v>
      </c>
      <c r="L23" s="22">
        <f>K23*$E$2</f>
        <v>13.717898762791442</v>
      </c>
      <c r="M23" s="35" t="s">
        <v>18</v>
      </c>
      <c r="P23" s="13"/>
      <c r="Q23" s="13">
        <v>73</v>
      </c>
      <c r="R23" s="4">
        <v>50</v>
      </c>
      <c r="S23" s="6">
        <f t="shared" ref="S23" si="6">Q23/R23</f>
        <v>1.46</v>
      </c>
    </row>
    <row r="24" spans="2:19" x14ac:dyDescent="0.25">
      <c r="B24" s="10">
        <f t="shared" si="0"/>
        <v>20</v>
      </c>
      <c r="C24" s="11" t="s">
        <v>38</v>
      </c>
      <c r="D24" s="11" t="s">
        <v>36</v>
      </c>
      <c r="E24" s="10">
        <v>2</v>
      </c>
      <c r="F24" s="22">
        <v>1.46</v>
      </c>
      <c r="G24" s="22">
        <f>F24*$E24</f>
        <v>2.92</v>
      </c>
      <c r="H24" s="22">
        <f>(F24*$H$10)+F24</f>
        <v>2.92</v>
      </c>
      <c r="I24" s="22">
        <f>H24*$E24</f>
        <v>5.84</v>
      </c>
      <c r="J24" s="28"/>
      <c r="K24" s="29">
        <f t="shared" si="1"/>
        <v>8.0693522134067306E-4</v>
      </c>
      <c r="L24" s="22">
        <f>K24*$E$2</f>
        <v>13.717898762791442</v>
      </c>
      <c r="M24" s="35" t="s">
        <v>18</v>
      </c>
      <c r="P24" s="13"/>
    </row>
    <row r="25" spans="2:19" x14ac:dyDescent="0.25">
      <c r="B25" s="10">
        <f t="shared" si="0"/>
        <v>21</v>
      </c>
      <c r="C25" s="11" t="s">
        <v>39</v>
      </c>
      <c r="D25" s="11" t="s">
        <v>44</v>
      </c>
      <c r="E25" s="10">
        <v>7</v>
      </c>
      <c r="F25" s="22">
        <v>3.49</v>
      </c>
      <c r="G25" s="22">
        <f>F25*$E25</f>
        <v>24.43</v>
      </c>
      <c r="H25" s="22">
        <f>(F25*$H$10)+F25</f>
        <v>6.98</v>
      </c>
      <c r="I25" s="22">
        <f>H25*$E25</f>
        <v>48.86</v>
      </c>
      <c r="J25" s="28"/>
      <c r="K25" s="29">
        <f t="shared" si="1"/>
        <v>6.7511737867646041E-3</v>
      </c>
      <c r="L25" s="22">
        <f>K25*$E$2</f>
        <v>114.76995437499826</v>
      </c>
      <c r="M25" s="35" t="s">
        <v>18</v>
      </c>
      <c r="P25" s="13">
        <f t="shared" si="4"/>
        <v>348.6</v>
      </c>
      <c r="Q25" s="14">
        <v>9.9600000000000009</v>
      </c>
      <c r="R25" s="4">
        <v>100</v>
      </c>
      <c r="S25" s="6">
        <f t="shared" ref="S25:S26" si="7">P25/R25</f>
        <v>3.4860000000000002</v>
      </c>
    </row>
    <row r="26" spans="2:19" x14ac:dyDescent="0.25">
      <c r="B26" s="10">
        <f t="shared" si="0"/>
        <v>22</v>
      </c>
      <c r="C26" s="11" t="s">
        <v>18</v>
      </c>
      <c r="D26" s="11" t="s">
        <v>56</v>
      </c>
      <c r="E26" s="10">
        <v>1</v>
      </c>
      <c r="F26" s="22">
        <v>35.94</v>
      </c>
      <c r="G26" s="22">
        <f>F26*$E26</f>
        <v>35.94</v>
      </c>
      <c r="H26" s="22">
        <f>(F26*$H$10)+F26</f>
        <v>71.88</v>
      </c>
      <c r="I26" s="22">
        <f>H26*$E26</f>
        <v>71.88</v>
      </c>
      <c r="J26" s="28"/>
      <c r="K26" s="29">
        <f t="shared" si="1"/>
        <v>9.9319355667752702E-3</v>
      </c>
      <c r="L26" s="22">
        <f>K26*$E$2</f>
        <v>168.84290463517959</v>
      </c>
      <c r="M26" s="35" t="s">
        <v>18</v>
      </c>
      <c r="P26" s="13">
        <v>1078.1199999999999</v>
      </c>
      <c r="Q26" s="14">
        <v>33.47</v>
      </c>
      <c r="R26" s="4">
        <v>30</v>
      </c>
      <c r="S26" s="6">
        <f t="shared" si="7"/>
        <v>35.937333333333328</v>
      </c>
    </row>
    <row r="27" spans="2:19" x14ac:dyDescent="0.25">
      <c r="B27" s="10">
        <f t="shared" si="0"/>
        <v>23</v>
      </c>
      <c r="C27" s="11" t="s">
        <v>40</v>
      </c>
      <c r="D27" s="11" t="s">
        <v>41</v>
      </c>
      <c r="E27" s="10">
        <v>6</v>
      </c>
      <c r="F27" s="22">
        <v>3</v>
      </c>
      <c r="G27" s="22">
        <f>F27*$E27</f>
        <v>18</v>
      </c>
      <c r="H27" s="22">
        <f>(F27*$H$10)+F27</f>
        <v>6</v>
      </c>
      <c r="I27" s="22">
        <f>H27*$E27</f>
        <v>36</v>
      </c>
      <c r="J27" s="28"/>
      <c r="K27" s="29">
        <f t="shared" si="1"/>
        <v>4.9742582137438755E-3</v>
      </c>
      <c r="L27" s="22">
        <f>K27*$E$2</f>
        <v>84.562389633645878</v>
      </c>
      <c r="M27" s="35" t="s">
        <v>18</v>
      </c>
      <c r="P27" s="13"/>
    </row>
    <row r="28" spans="2:19" x14ac:dyDescent="0.25">
      <c r="B28" s="10">
        <f t="shared" si="0"/>
        <v>24</v>
      </c>
      <c r="C28" s="11" t="s">
        <v>28</v>
      </c>
      <c r="D28" s="11" t="s">
        <v>29</v>
      </c>
      <c r="E28" s="10">
        <v>1</v>
      </c>
      <c r="F28" s="22">
        <v>0.4</v>
      </c>
      <c r="G28" s="22">
        <f>F28*$E28</f>
        <v>0.4</v>
      </c>
      <c r="H28" s="22">
        <f>(F28*$H$10)+F28</f>
        <v>0.8</v>
      </c>
      <c r="I28" s="22">
        <f>H28*$E28</f>
        <v>0.8</v>
      </c>
      <c r="J28" s="28"/>
      <c r="K28" s="29">
        <f t="shared" si="1"/>
        <v>1.1053907141653057E-4</v>
      </c>
      <c r="L28" s="22">
        <f>K28*$E$2</f>
        <v>1.8791642140810199</v>
      </c>
      <c r="M28" s="35" t="s">
        <v>18</v>
      </c>
      <c r="P28" s="13">
        <f t="shared" si="4"/>
        <v>16.100000000000001</v>
      </c>
      <c r="Q28" s="14">
        <v>0.46</v>
      </c>
      <c r="R28" s="4">
        <v>40</v>
      </c>
      <c r="S28" s="6">
        <f t="shared" ref="S28:S29" si="8">P28/R28</f>
        <v>0.40250000000000002</v>
      </c>
    </row>
    <row r="29" spans="2:19" x14ac:dyDescent="0.25">
      <c r="B29" s="10">
        <f t="shared" si="0"/>
        <v>25</v>
      </c>
      <c r="C29" s="11" t="s">
        <v>42</v>
      </c>
      <c r="D29" s="11" t="s">
        <v>43</v>
      </c>
      <c r="E29" s="10">
        <v>1</v>
      </c>
      <c r="F29" s="22">
        <v>12</v>
      </c>
      <c r="G29" s="22">
        <f>F29*$E29</f>
        <v>12</v>
      </c>
      <c r="H29" s="22">
        <f>(F29*$H$10)+F29</f>
        <v>24</v>
      </c>
      <c r="I29" s="22">
        <f>H29*$E29</f>
        <v>24</v>
      </c>
      <c r="J29" s="28"/>
      <c r="K29" s="29">
        <f t="shared" si="1"/>
        <v>3.316172142495917E-3</v>
      </c>
      <c r="L29" s="22">
        <f>K29*$E$2</f>
        <v>56.37492642243059</v>
      </c>
      <c r="M29" s="35"/>
      <c r="P29" s="13">
        <f>Q29*35</f>
        <v>46.2</v>
      </c>
      <c r="Q29" s="14">
        <v>1.32</v>
      </c>
      <c r="R29" s="4">
        <v>20</v>
      </c>
      <c r="S29" s="6">
        <f t="shared" si="8"/>
        <v>2.31</v>
      </c>
    </row>
    <row r="30" spans="2:19" x14ac:dyDescent="0.25">
      <c r="B30" s="10">
        <f t="shared" si="0"/>
        <v>26</v>
      </c>
      <c r="C30" s="11" t="s">
        <v>50</v>
      </c>
      <c r="D30" s="11" t="s">
        <v>49</v>
      </c>
      <c r="E30" s="10">
        <v>1</v>
      </c>
      <c r="F30" s="22">
        <v>55</v>
      </c>
      <c r="G30" s="22">
        <f>F30*$E30</f>
        <v>55</v>
      </c>
      <c r="H30" s="22">
        <f>(F30*$H$10)+F30</f>
        <v>110</v>
      </c>
      <c r="I30" s="22">
        <f>H30*$E30</f>
        <v>110</v>
      </c>
      <c r="J30" s="28"/>
      <c r="K30" s="29">
        <f t="shared" si="1"/>
        <v>1.5199122319772952E-2</v>
      </c>
      <c r="L30" s="22">
        <f>K30*$E$2</f>
        <v>258.38507943614019</v>
      </c>
      <c r="M30" s="35"/>
      <c r="P30" s="13"/>
      <c r="Q30" s="14"/>
    </row>
    <row r="31" spans="2:19" x14ac:dyDescent="0.25">
      <c r="B31" s="10">
        <f t="shared" si="0"/>
        <v>27</v>
      </c>
      <c r="C31" s="11" t="s">
        <v>54</v>
      </c>
      <c r="D31" s="11" t="s">
        <v>53</v>
      </c>
      <c r="E31" s="10">
        <v>1</v>
      </c>
      <c r="F31" s="22">
        <v>27.76</v>
      </c>
      <c r="G31" s="22">
        <f>F31*$E31</f>
        <v>27.76</v>
      </c>
      <c r="H31" s="22">
        <f>(F31*$H$10)+F31</f>
        <v>55.52</v>
      </c>
      <c r="I31" s="22">
        <f>H31*$E31</f>
        <v>55.52</v>
      </c>
      <c r="J31" s="28"/>
      <c r="K31" s="29">
        <f t="shared" si="1"/>
        <v>7.6714115563072212E-3</v>
      </c>
      <c r="L31" s="22">
        <f>K31*$E$2</f>
        <v>130.41399645722277</v>
      </c>
      <c r="M31" s="35"/>
      <c r="P31" s="13">
        <v>694</v>
      </c>
      <c r="Q31" s="14"/>
      <c r="R31" s="4">
        <v>25</v>
      </c>
      <c r="S31" s="6">
        <f t="shared" ref="S31:S32" si="9">P31/R31</f>
        <v>27.76</v>
      </c>
    </row>
    <row r="32" spans="2:19" x14ac:dyDescent="0.25">
      <c r="B32" s="10">
        <f t="shared" si="0"/>
        <v>28</v>
      </c>
      <c r="C32" s="11" t="s">
        <v>52</v>
      </c>
      <c r="D32" s="11" t="s">
        <v>51</v>
      </c>
      <c r="E32" s="10">
        <v>1</v>
      </c>
      <c r="F32" s="22">
        <v>2.77</v>
      </c>
      <c r="G32" s="22">
        <f>F32*$E32</f>
        <v>2.77</v>
      </c>
      <c r="H32" s="22">
        <f>(F32*$H$10)+F32</f>
        <v>5.54</v>
      </c>
      <c r="I32" s="22">
        <f>H32*$E32</f>
        <v>5.54</v>
      </c>
      <c r="J32" s="28"/>
      <c r="K32" s="29">
        <f t="shared" si="1"/>
        <v>7.6548306955947414E-4</v>
      </c>
      <c r="L32" s="22">
        <f>K32*$E$2</f>
        <v>13.01321218251106</v>
      </c>
      <c r="M32" s="35"/>
      <c r="P32" s="13">
        <v>83</v>
      </c>
      <c r="Q32" s="14"/>
      <c r="R32" s="4">
        <v>30</v>
      </c>
      <c r="S32" s="6">
        <f t="shared" si="9"/>
        <v>2.7666666666666666</v>
      </c>
    </row>
    <row r="33" spans="2:20" x14ac:dyDescent="0.25">
      <c r="B33" s="10">
        <f t="shared" si="0"/>
        <v>29</v>
      </c>
      <c r="C33" s="11" t="s">
        <v>34</v>
      </c>
      <c r="D33" s="11"/>
      <c r="E33" s="10">
        <v>1</v>
      </c>
      <c r="F33" s="22">
        <v>20</v>
      </c>
      <c r="G33" s="22">
        <f>F33*$E33</f>
        <v>20</v>
      </c>
      <c r="H33" s="22">
        <f>(F33*$H$10)+F33</f>
        <v>40</v>
      </c>
      <c r="I33" s="22">
        <f>H33*$E33</f>
        <v>40</v>
      </c>
      <c r="J33" s="28"/>
      <c r="K33" s="29">
        <f t="shared" si="1"/>
        <v>5.5269535708265278E-3</v>
      </c>
      <c r="L33" s="22">
        <f>K33*$E$2</f>
        <v>93.95821070405097</v>
      </c>
      <c r="M33" s="35"/>
    </row>
    <row r="34" spans="2:20" x14ac:dyDescent="0.25">
      <c r="B34" s="10">
        <f t="shared" si="0"/>
        <v>30</v>
      </c>
      <c r="C34" s="11" t="s">
        <v>47</v>
      </c>
      <c r="D34" s="11"/>
      <c r="E34" s="10">
        <v>1</v>
      </c>
      <c r="F34" s="22">
        <v>20</v>
      </c>
      <c r="G34" s="22">
        <f>F34*$E34</f>
        <v>20</v>
      </c>
      <c r="H34" s="22">
        <f>(F34*$H$10)+F34</f>
        <v>40</v>
      </c>
      <c r="I34" s="22">
        <f>H34*$E34</f>
        <v>40</v>
      </c>
      <c r="J34" s="28"/>
      <c r="K34" s="29">
        <f t="shared" si="1"/>
        <v>5.5269535708265278E-3</v>
      </c>
      <c r="L34" s="22">
        <f>K34*$E$2</f>
        <v>93.95821070405097</v>
      </c>
      <c r="M34" s="35" t="s">
        <v>18</v>
      </c>
    </row>
    <row r="35" spans="2:20" x14ac:dyDescent="0.25">
      <c r="B35" s="10">
        <f t="shared" si="0"/>
        <v>31</v>
      </c>
      <c r="C35" s="11" t="s">
        <v>46</v>
      </c>
      <c r="D35" s="11"/>
      <c r="E35" s="10">
        <v>1</v>
      </c>
      <c r="F35" s="22">
        <v>700</v>
      </c>
      <c r="G35" s="22">
        <f>F35*$E35</f>
        <v>700</v>
      </c>
      <c r="H35" s="22">
        <f>(F35*$H$10)+F35</f>
        <v>1400</v>
      </c>
      <c r="I35" s="22">
        <f>H35*$E35</f>
        <v>1400</v>
      </c>
      <c r="J35" s="28"/>
      <c r="K35" s="29">
        <f t="shared" si="1"/>
        <v>0.1934433749789285</v>
      </c>
      <c r="L35" s="22">
        <f>K35*$E$2</f>
        <v>3288.5373746417845</v>
      </c>
      <c r="M35" s="35"/>
    </row>
    <row r="36" spans="2:20" x14ac:dyDescent="0.25">
      <c r="B36" s="10">
        <f t="shared" si="0"/>
        <v>32</v>
      </c>
      <c r="C36" s="11" t="s">
        <v>45</v>
      </c>
      <c r="D36" s="11"/>
      <c r="E36" s="10">
        <v>1</v>
      </c>
      <c r="F36" s="22">
        <v>500</v>
      </c>
      <c r="G36" s="22">
        <f>F36*$E36</f>
        <v>500</v>
      </c>
      <c r="H36" s="22">
        <f>(F36*$H$10)+F36</f>
        <v>1000</v>
      </c>
      <c r="I36" s="22">
        <f>H36*$E36</f>
        <v>1000</v>
      </c>
      <c r="J36" s="28"/>
      <c r="K36" s="29">
        <f t="shared" si="1"/>
        <v>0.13817383927066321</v>
      </c>
      <c r="L36" s="22">
        <f>K36*$E$2</f>
        <v>2348.9552676012745</v>
      </c>
      <c r="M36" s="35"/>
    </row>
    <row r="37" spans="2:20" x14ac:dyDescent="0.25">
      <c r="B37" s="10">
        <f t="shared" si="0"/>
        <v>33</v>
      </c>
      <c r="C37" s="11" t="s">
        <v>25</v>
      </c>
      <c r="D37" s="11" t="s">
        <v>55</v>
      </c>
      <c r="E37" s="10">
        <v>1</v>
      </c>
      <c r="F37" s="22">
        <v>340</v>
      </c>
      <c r="G37" s="22">
        <f>F37*$E37</f>
        <v>340</v>
      </c>
      <c r="H37" s="22">
        <f>(F37*$H$10)+F37</f>
        <v>680</v>
      </c>
      <c r="I37" s="22">
        <f>H37*$E37</f>
        <v>680</v>
      </c>
      <c r="J37" s="28"/>
      <c r="K37" s="29">
        <f t="shared" si="1"/>
        <v>9.3958210704050985E-2</v>
      </c>
      <c r="L37" s="22">
        <f>K37*$E$2</f>
        <v>1597.2895819688667</v>
      </c>
      <c r="M37" s="35"/>
      <c r="P37" s="13">
        <f>+Q37*34</f>
        <v>4179.28</v>
      </c>
      <c r="Q37" s="14">
        <f>109.32+13.6</f>
        <v>122.91999999999999</v>
      </c>
      <c r="R37" s="4">
        <v>1</v>
      </c>
    </row>
    <row r="38" spans="2:20" x14ac:dyDescent="0.25">
      <c r="B38" s="10">
        <f t="shared" si="0"/>
        <v>34</v>
      </c>
      <c r="C38" s="11" t="s">
        <v>14</v>
      </c>
      <c r="D38" s="11" t="s">
        <v>16</v>
      </c>
      <c r="E38" s="10">
        <v>5</v>
      </c>
      <c r="F38" s="22">
        <v>8</v>
      </c>
      <c r="G38" s="22">
        <f>F38*$E38</f>
        <v>40</v>
      </c>
      <c r="H38" s="22">
        <f>(F38*$H$10)+F38</f>
        <v>16</v>
      </c>
      <c r="I38" s="22">
        <f>H38*$E38</f>
        <v>80</v>
      </c>
      <c r="J38" s="28"/>
      <c r="K38" s="29">
        <f t="shared" si="1"/>
        <v>1.1053907141653056E-2</v>
      </c>
      <c r="L38" s="22">
        <f>K38*$E$2</f>
        <v>187.91642140810194</v>
      </c>
      <c r="M38" s="35"/>
      <c r="Q38" s="4">
        <v>8</v>
      </c>
      <c r="R38" s="4">
        <v>100</v>
      </c>
      <c r="S38" s="6">
        <f>Q38*R38</f>
        <v>800</v>
      </c>
      <c r="T38" s="27">
        <v>1589</v>
      </c>
    </row>
    <row r="39" spans="2:20" x14ac:dyDescent="0.25">
      <c r="B39" s="10">
        <f t="shared" si="0"/>
        <v>35</v>
      </c>
      <c r="C39" s="11" t="s">
        <v>15</v>
      </c>
      <c r="D39" s="11" t="s">
        <v>17</v>
      </c>
      <c r="E39" s="10">
        <v>1</v>
      </c>
      <c r="F39" s="22">
        <v>109</v>
      </c>
      <c r="G39" s="22">
        <f>F39*$E39</f>
        <v>109</v>
      </c>
      <c r="H39" s="22">
        <f>(F39*$H$10)+F39</f>
        <v>218</v>
      </c>
      <c r="I39" s="22">
        <f>H39*$E39</f>
        <v>218</v>
      </c>
      <c r="J39" s="28"/>
      <c r="K39" s="29">
        <f t="shared" si="1"/>
        <v>3.0121896961004577E-2</v>
      </c>
      <c r="L39" s="22">
        <f>K39*$E$2</f>
        <v>512.07224833707778</v>
      </c>
      <c r="M39" s="35"/>
      <c r="Q39" s="4">
        <v>950</v>
      </c>
      <c r="R39" s="4">
        <v>1</v>
      </c>
      <c r="S39" s="6">
        <f>Q39*R39</f>
        <v>950</v>
      </c>
      <c r="T39" s="27"/>
    </row>
    <row r="40" spans="2:20" x14ac:dyDescent="0.25">
      <c r="B40" s="15"/>
      <c r="C40" s="16"/>
      <c r="D40" s="16"/>
      <c r="E40" s="15"/>
      <c r="F40" s="23"/>
      <c r="G40" s="23"/>
      <c r="H40" s="23"/>
      <c r="I40" s="23"/>
      <c r="J40" s="28"/>
      <c r="K40" s="23"/>
      <c r="L40" s="23"/>
      <c r="M40" s="36"/>
    </row>
    <row r="41" spans="2:20" x14ac:dyDescent="0.25">
      <c r="B41" s="18"/>
      <c r="C41" s="19"/>
      <c r="D41" s="19"/>
      <c r="E41" s="20"/>
      <c r="F41" s="24"/>
      <c r="G41" s="24">
        <f>SUM(G12:G39)</f>
        <v>3618.63</v>
      </c>
      <c r="H41" s="24"/>
      <c r="I41" s="25">
        <f>SUM(I12:I39)</f>
        <v>7237.26</v>
      </c>
      <c r="J41" s="28"/>
      <c r="K41" s="30">
        <f>SUM(K12:K39)</f>
        <v>1</v>
      </c>
      <c r="L41" s="31">
        <f>SUM(L12:L40)</f>
        <v>17000</v>
      </c>
      <c r="M41" s="37"/>
    </row>
    <row r="42" spans="2:20" x14ac:dyDescent="0.25">
      <c r="F42" s="6"/>
      <c r="G42" s="6">
        <f>$E$2-G41</f>
        <v>13381.369999999999</v>
      </c>
      <c r="H42" s="6"/>
      <c r="I42" s="6">
        <f>$E$2-I41</f>
        <v>9762.74</v>
      </c>
      <c r="J42" s="6"/>
      <c r="K42" s="6"/>
      <c r="L42" s="6"/>
    </row>
    <row r="43" spans="2:20" x14ac:dyDescent="0.25">
      <c r="D43" s="17"/>
      <c r="F43" s="6"/>
      <c r="G43" s="6"/>
      <c r="H43" s="6"/>
    </row>
    <row r="44" spans="2:20" x14ac:dyDescent="0.25">
      <c r="G44" s="4">
        <v>23</v>
      </c>
    </row>
    <row r="45" spans="2:20" x14ac:dyDescent="0.25">
      <c r="D45" s="17"/>
      <c r="G45" s="6">
        <f>G41*$G$44</f>
        <v>83228.490000000005</v>
      </c>
      <c r="I45" s="6">
        <f>I41*$G$44</f>
        <v>166456.98000000001</v>
      </c>
      <c r="J45" s="6"/>
      <c r="K45" s="6"/>
      <c r="L45" s="6"/>
    </row>
    <row r="46" spans="2:20" x14ac:dyDescent="0.25">
      <c r="G46" s="5"/>
    </row>
    <row r="47" spans="2:20" x14ac:dyDescent="0.25">
      <c r="H47" s="26"/>
    </row>
  </sheetData>
  <mergeCells count="10">
    <mergeCell ref="T38:T39"/>
    <mergeCell ref="E2:F2"/>
    <mergeCell ref="E1:F1"/>
    <mergeCell ref="E3:F3"/>
    <mergeCell ref="E4:F4"/>
    <mergeCell ref="E5:F5"/>
    <mergeCell ref="E6:F6"/>
    <mergeCell ref="E7:F7"/>
    <mergeCell ref="E8:F8"/>
    <mergeCell ref="E9:F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683EB-D841-4308-BB4E-FB01603BE49F}">
  <dimension ref="J3:L21"/>
  <sheetViews>
    <sheetView workbookViewId="0">
      <selection activeCell="K18" sqref="K18:K21"/>
    </sheetView>
  </sheetViews>
  <sheetFormatPr defaultRowHeight="15" x14ac:dyDescent="0.25"/>
  <sheetData>
    <row r="3" spans="10:12" x14ac:dyDescent="0.25">
      <c r="J3" t="s">
        <v>76</v>
      </c>
    </row>
    <row r="5" spans="10:12" x14ac:dyDescent="0.25">
      <c r="J5" t="s">
        <v>77</v>
      </c>
    </row>
    <row r="6" spans="10:12" x14ac:dyDescent="0.25">
      <c r="K6" t="s">
        <v>79</v>
      </c>
    </row>
    <row r="7" spans="10:12" x14ac:dyDescent="0.25">
      <c r="L7" t="s">
        <v>80</v>
      </c>
    </row>
    <row r="9" spans="10:12" x14ac:dyDescent="0.25">
      <c r="K9" t="s">
        <v>81</v>
      </c>
    </row>
    <row r="10" spans="10:12" x14ac:dyDescent="0.25">
      <c r="L10" t="s">
        <v>82</v>
      </c>
    </row>
    <row r="11" spans="10:12" x14ac:dyDescent="0.25">
      <c r="L11" t="s">
        <v>83</v>
      </c>
    </row>
    <row r="13" spans="10:12" x14ac:dyDescent="0.25">
      <c r="K13" t="s">
        <v>84</v>
      </c>
    </row>
    <row r="14" spans="10:12" x14ac:dyDescent="0.25">
      <c r="L14" t="s">
        <v>85</v>
      </c>
    </row>
    <row r="15" spans="10:12" x14ac:dyDescent="0.25">
      <c r="L15" t="s">
        <v>86</v>
      </c>
    </row>
    <row r="17" spans="10:11" x14ac:dyDescent="0.25">
      <c r="J17" t="s">
        <v>78</v>
      </c>
    </row>
    <row r="18" spans="10:11" x14ac:dyDescent="0.25">
      <c r="K18" t="s">
        <v>71</v>
      </c>
    </row>
    <row r="19" spans="10:11" x14ac:dyDescent="0.25">
      <c r="K19" t="s">
        <v>72</v>
      </c>
    </row>
    <row r="20" spans="10:11" x14ac:dyDescent="0.25">
      <c r="K20" t="s">
        <v>73</v>
      </c>
    </row>
    <row r="21" spans="10:11" x14ac:dyDescent="0.25">
      <c r="K2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TVS2102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วีรชัย คำพันธ์</dc:creator>
  <cp:lastModifiedBy>วีรชัย คำพันธ์</cp:lastModifiedBy>
  <dcterms:created xsi:type="dcterms:W3CDTF">2015-06-05T18:17:20Z</dcterms:created>
  <dcterms:modified xsi:type="dcterms:W3CDTF">2026-01-05T15:27:08Z</dcterms:modified>
</cp:coreProperties>
</file>